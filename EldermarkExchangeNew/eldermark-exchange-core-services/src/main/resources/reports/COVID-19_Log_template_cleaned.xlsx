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HealthCare\exchange\EldermarkExchangeNew\eldermark-exchange-core-services\src\main\resources\reports\"/>
    </mc:Choice>
  </mc:AlternateContent>
  <bookViews>
    <workbookView xWindow="0" yWindow="0" windowWidth="19365" windowHeight="8520" activeTab="4"/>
  </bookViews>
  <sheets>
    <sheet name="Results" sheetId="6" r:id="rId1"/>
    <sheet name="Graphs" sheetId="4" r:id="rId2"/>
    <sheet name="Linear" sheetId="5" r:id="rId3"/>
    <sheet name="Summary" sheetId="3" r:id="rId4"/>
    <sheet name="Detail" sheetId="1" r:id="rId5"/>
    <sheet name="Sheet2" sheetId="2" state="hidden" r:id="rId6"/>
  </sheets>
  <calcPr calcId="162913"/>
  <pivotCaches>
    <pivotCache cacheId="5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<sst xmlns="http://schemas.openxmlformats.org/spreadsheetml/2006/main" count="71" uniqueCount="24">
  <si>
    <t xml:space="preserve">Date </t>
  </si>
  <si>
    <t>Community</t>
  </si>
  <si>
    <t xml:space="preserve">Date Results Posted by Lab </t>
  </si>
  <si>
    <t>Negative/ Positive Results</t>
  </si>
  <si>
    <t>Date Community Notified</t>
  </si>
  <si>
    <t>Comments</t>
  </si>
  <si>
    <t>Name (Last, First)</t>
  </si>
  <si>
    <t>Team Member</t>
  </si>
  <si>
    <t>Resident</t>
  </si>
  <si>
    <t>New Admit</t>
  </si>
  <si>
    <t>Reason for Test</t>
  </si>
  <si>
    <t>Positive</t>
  </si>
  <si>
    <t>Negative</t>
  </si>
  <si>
    <t>Column Labels</t>
  </si>
  <si>
    <t>Grand Total</t>
  </si>
  <si>
    <t>Row Labels</t>
  </si>
  <si>
    <t>Count of Name (Last, First)</t>
  </si>
  <si>
    <t>New Team Member</t>
  </si>
  <si>
    <t>Month</t>
  </si>
  <si>
    <t>Count of Negative/ Positive Results</t>
  </si>
  <si>
    <t>Private Duty</t>
  </si>
  <si>
    <t>(blank)</t>
  </si>
  <si>
    <t>Add totals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</si>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</sst>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wrapText="1"/>
    </xf>
    <xf numFmtId="14" fontId="1" fillId="0" borderId="0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m/d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m/d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1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Consolidated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Summary!$B$47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70-44BC-8E1D-46851C34F8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55-4DBB-B20A-90939C8DF11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15-4F5C-BEDB-EF1F4B4BB5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Summary!$A$48:$A$49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Summary!$B$48:$B$49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CC70-44BC-8E1D-46851C34F8F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[COVID-19_Log_template_cleaned.xlsx]Summary!PivotTable4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482961136193569E-2"/>
          <c:y val="0.18188018642719109"/>
          <c:w val="0.66825548581200789"/>
          <c:h val="0.75854528844996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Summary!$B$40:$B$41</c:f>
              <c:strCache>
                <c:ptCount val="1"/>
                <c:pt idx="0">
                  <c:v>(blank)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Summary!$A$42:$A$43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Summary!$B$42:$B$43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C66-40EE-9F85-E712CBB9DB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752072240"/>
        <c:axId val="1671957472"/>
      </c:barChart>
      <c:catAx>
        <c:axId val="175207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57472"/>
        <c:crosses val="autoZero"/>
        <c:auto val="1"/>
        <c:lblAlgn val="ctr"/>
        <c:lblOffset val="100"/>
        <c:noMultiLvlLbl val="0"/>
      </c:catAx>
      <c:valAx>
        <c:axId val="167195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07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[COVID-19_Log_template_cleaned.xlsx]Summary!PivotTable7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Positive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Summary!$N$42:$N$43</c:f>
              <c:strCache>
                <c:ptCount val="1"/>
                <c:pt idx="0">
                  <c:v>Grand 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elete val="1"/>
          </c:dLbls>
          <c:cat>
            <c:strRef>
              <c:f>Summary!$M$44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Summary!$N$44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8BF-4DEE-BF9D-8B81F0F025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4926703"/>
        <c:axId val="110053535"/>
      </c:barChart>
      <c:catAx>
        <c:axId val="6492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3535"/>
        <c:crosses val="autoZero"/>
        <c:auto val="1"/>
        <c:lblAlgn val="ctr"/>
        <c:lblOffset val="100"/>
        <c:noMultiLvlLbl val="0"/>
      </c:catAx>
      <c:valAx>
        <c:axId val="11005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[COVID-19_Log_template_cleaned.xlsx]Summary!PivotTable9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Summary!$B$62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88-4BE2-B5AD-C8B3806816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88-4BE2-B5AD-C8B3806816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88-4BE2-B5AD-C8B3806816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Summary!$A$63:$A$64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Summary!$B$63:$B$64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7A88-4BE2-B5AD-C8B380681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Summary!$B$3:$B$4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Summary!$A$5:$A$6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Summary!$B$5:$B$6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B171-4285-A4FE-F696EAB49F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4185519"/>
        <c:axId val="1872430671"/>
      </c:barChart>
      <c:catAx>
        <c:axId val="35418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430671"/>
        <c:crosses val="autoZero"/>
        <c:auto val="1"/>
        <c:lblAlgn val="ctr"/>
        <c:lblOffset val="100"/>
        <c:noMultiLvlLbl val="0"/>
      </c:catAx>
      <c:valAx>
        <c:axId val="18724306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418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Summary!$T$3:$T$4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Summary!$S$5:$S$6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Summary!$T$5:$T$6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23C-4E74-B46F-F36ED50D13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49513440"/>
        <c:axId val="2055369920"/>
      </c:barChart>
      <c:catAx>
        <c:axId val="204951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369920"/>
        <c:crosses val="autoZero"/>
        <c:auto val="1"/>
        <c:lblAlgn val="ctr"/>
        <c:lblOffset val="100"/>
        <c:noMultiLvlLbl val="0"/>
      </c:catAx>
      <c:valAx>
        <c:axId val="20553699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4951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[COVID-19_Log_template_cleaned.xlsx]Summary!PivotTable8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Summary!$B$54:$B$55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Summary!$B$56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1C7-4F25-8411-70B2CADB89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3856048"/>
        <c:axId val="1382425584"/>
      </c:barChart>
      <c:catAx>
        <c:axId val="13638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425584"/>
        <c:crosses val="autoZero"/>
        <c:auto val="1"/>
        <c:lblAlgn val="ctr"/>
        <c:lblOffset val="100"/>
        <c:noMultiLvlLbl val="0"/>
      </c:catAx>
      <c:valAx>
        <c:axId val="13824255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385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Vitality Consolidated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Summary!$T$3:$T$4</c:f>
              <c:strCache>
                <c:ptCount val="1"/>
                <c:pt idx="0">
                  <c:v>(blank)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strRef>
              <c:f>Summary!$S$5:$S$6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Summary!$T$5:$T$6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5-448A-971B-92B241FA9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998000"/>
        <c:axId val="1685313776"/>
      </c:lineChart>
      <c:catAx>
        <c:axId val="168999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313776"/>
        <c:crosses val="autoZero"/>
        <c:auto val="1"/>
        <c:lblAlgn val="ctr"/>
        <c:lblOffset val="100"/>
        <c:noMultiLvlLbl val="0"/>
      </c:catAx>
      <c:valAx>
        <c:axId val="16853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99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[COVID-19_Log_template_cleaned.xlsx]Summary!PivotTable6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Community Breakout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Summary!$B$28:$B$29</c:f>
              <c:strCache>
                <c:ptCount val="1"/>
                <c:pt idx="0">
                  <c:v>(blank)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Summary!$A$30:$A$31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Summary!$B$30:$B$31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A5-4A67-92DD-44BD8A82E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3234623"/>
        <c:axId val="1089270607"/>
      </c:lineChart>
      <c:catAx>
        <c:axId val="110323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70607"/>
        <c:crosses val="autoZero"/>
        <c:auto val="1"/>
        <c:lblAlgn val="ctr"/>
        <c:lblOffset val="100"/>
        <c:noMultiLvlLbl val="0"/>
      </c:catAx>
      <c:valAx>
        <c:axId val="108927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3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112059</xdr:colOff>
      <xdr:row>0</xdr:row>
      <xdr:rowOff>33618</xdr:rowOff>
    </xdr:from>
    <xdr:to>
      <xdr:col>8</xdr:col>
      <xdr:colOff>121583</xdr:colOff>
      <xdr:row>24</xdr:row>
      <xdr:rowOff>147919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50C455-69AE-436D-BAEA-D1052CB36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115418</xdr:colOff>
      <xdr:row>25</xdr:row>
      <xdr:rowOff>67237</xdr:rowOff>
    </xdr:from>
    <xdr:to>
      <xdr:col>8</xdr:col>
      <xdr:colOff>123264</xdr:colOff>
      <xdr:row>48</xdr:row>
      <xdr:rowOff>22413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E4CFA1-48E8-4CE8-9493-A70F7F6DF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217392</xdr:colOff>
      <xdr:row>25</xdr:row>
      <xdr:rowOff>44824</xdr:rowOff>
    </xdr:from>
    <xdr:to>
      <xdr:col>17</xdr:col>
      <xdr:colOff>504265</xdr:colOff>
      <xdr:row>48</xdr:row>
      <xdr:rowOff>56029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95750E-8AFC-457B-AEE5-2897B19D1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201706</xdr:colOff>
      <xdr:row>0</xdr:row>
      <xdr:rowOff>11207</xdr:rowOff>
    </xdr:from>
    <xdr:to>
      <xdr:col>17</xdr:col>
      <xdr:colOff>493059</xdr:colOff>
      <xdr:row>24</xdr:row>
      <xdr:rowOff>123265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275FA5-1E79-4037-83E6-ACF830210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57150</xdr:rowOff>
    </xdr:from>
    <xdr:to>
      <xdr:col>12</xdr:col>
      <xdr:colOff>381000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97129-0D1C-4AED-B9F3-45CE09587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0</xdr:row>
      <xdr:rowOff>0</xdr:rowOff>
    </xdr:from>
    <xdr:to>
      <xdr:col>25</xdr:col>
      <xdr:colOff>485775</xdr:colOff>
      <xdr:row>27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FFCA50-1D9A-4556-9DF5-C8075866B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0</xdr:row>
      <xdr:rowOff>0</xdr:rowOff>
    </xdr:from>
    <xdr:to>
      <xdr:col>33</xdr:col>
      <xdr:colOff>435429</xdr:colOff>
      <xdr:row>27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30E3D8-44AB-4F3B-9FA9-3408FAEF7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104775</xdr:rowOff>
    </xdr:from>
    <xdr:to>
      <xdr:col>12</xdr:col>
      <xdr:colOff>152399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9EC33-DD3C-4FC8-9DB2-7B277CC61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247650</xdr:colOff>
      <xdr:row>0</xdr:row>
      <xdr:rowOff>104775</xdr:rowOff>
    </xdr:from>
    <xdr:to>
      <xdr:col>25</xdr:col>
      <xdr:colOff>235141</xdr:colOff>
      <xdr:row>32</xdr:row>
      <xdr:rowOff>26422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C7DF65-4A39-4AEA-81CB-5A9EAB36D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Rudkouski, Andrei" refreshedDate="44022.427385185183" createdVersion="6" refreshedVersion="6" minRefreshableVersion="3" recordCount="1">
  <cacheSource type="worksheet">
    <worksheetSource ref="A1:I2" sheet="Detail"/>
  </cacheSource>
  <cacheFields count="9">
    <cacheField name="Date " numFmtId="14">
      <sharedItems containsNonDate="0" containsString="0" containsBlank="1"/>
    </cacheField>
    <cacheField name="Community" numFmtId="0">
      <sharedItems containsNonDate="0" containsBlank="1" count="20">
        <m/>
        <s v="Texas Star" u="1"/>
        <s v="PBG" u="1"/>
        <s v="Wildwood" u="1"/>
        <s v="Support Team" u="1"/>
        <s v="Tallahassee" u="1"/>
        <s v="Smyrna" u="1"/>
        <s v="Springhill" u="1"/>
        <s v="Millcreek" u="1"/>
        <s v="Providence" u="1"/>
        <s v="Victoria" u="1"/>
        <s v="Maybelle Carter" u="1"/>
        <s v="Stuart" u="1"/>
        <s v="PNS" u="1"/>
        <s v="Franklin" u="1"/>
        <s v="Wild Wood" u="1"/>
        <s v="Spring Hill" u="1"/>
        <s v="Coconut Creek" u="1"/>
        <s v="German Town" u="1"/>
        <s v="Athens" u="1"/>
      </sharedItems>
    </cacheField>
    <cacheField name="Reason for Test" numFmtId="0">
      <sharedItems containsNonDate="0" containsBlank="1" count="6">
        <m/>
        <s v="New Admit" u="1"/>
        <s v="Resident" u="1"/>
        <s v="Private Duty" u="1"/>
        <s v="Team Member" u="1"/>
        <s v="New Team Member" u="1"/>
      </sharedItems>
    </cacheField>
    <cacheField name="Name (Last, First)" numFmtId="0">
      <sharedItems containsNonDate="0" containsString="0" containsBlank="1"/>
    </cacheField>
    <cacheField name="Date Results Posted by Lab " numFmtId="14">
      <sharedItems containsNonDate="0" containsString="0" containsBlank="1"/>
    </cacheField>
    <cacheField name="Negative/ Positive Results" numFmtId="0">
      <sharedItems containsNonDate="0" containsBlank="1" count="3">
        <m/>
        <s v="Negative" u="1"/>
        <s v="Positive" u="1"/>
      </sharedItems>
    </cacheField>
    <cacheField name="Date Community Notified" numFmtId="14">
      <sharedItems containsNonDate="0" containsString="0" containsBlank="1"/>
    </cacheField>
    <cacheField name="Comments" numFmtId="0">
      <sharedItems containsNonDate="0" containsString="0" containsBlank="1"/>
    </cacheField>
    <cacheField name="Month" numFmtId="0">
      <sharedItems containsNonDate="0" containsBlank="1" count="7">
        <m/>
        <s v="3-2020" u="1"/>
        <s v="4-2020" u="1"/>
        <s v="1-1900" u="1"/>
        <s v="5-2020" u="1"/>
        <s v="6-2020" u="1"/>
        <e v="#VALUE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x v="0"/>
    <x v="0"/>
    <m/>
    <m/>
    <x v="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S3:U6" firstHeaderRow="1" firstDataRow="2" firstDataCol="1"/>
  <pivotFields count="9">
    <pivotField numFmtId="14" showAll="0"/>
    <pivotField showAll="0"/>
    <pivotField axis="axisCol" showAll="0">
      <items count="7">
        <item m="1" x="1"/>
        <item m="1" x="2"/>
        <item m="1" x="4"/>
        <item m="1" x="5"/>
        <item x="0"/>
        <item m="1" x="3"/>
        <item t="default"/>
      </items>
    </pivotField>
    <pivotField dataField="1" showAll="0"/>
    <pivotField showAll="0"/>
    <pivotField showAll="0"/>
    <pivotField showAll="0"/>
    <pivotField showAll="0"/>
    <pivotField axis="axisRow" showAll="0" sortType="ascending">
      <items count="8">
        <item m="1" x="3"/>
        <item m="1" x="1"/>
        <item m="1" x="2"/>
        <item m="1" x="4"/>
        <item m="1" x="5"/>
        <item m="1" x="6"/>
        <item x="0"/>
        <item t="default"/>
      </items>
    </pivotField>
  </pivotFields>
  <rowFields count="1">
    <field x="8"/>
  </rowFields>
  <rowItems count="2">
    <i>
      <x v="6"/>
    </i>
    <i t="grand">
      <x/>
    </i>
  </rowItems>
  <colFields count="1">
    <field x="2"/>
  </colFields>
  <colItems count="2">
    <i>
      <x v="4"/>
    </i>
    <i t="grand">
      <x/>
    </i>
  </colItems>
  <dataFields count="1">
    <dataField name="Count of Name (Last, First)" fld="3" subtotal="count" baseField="0" baseItem="0"/>
  </dataFields>
  <chartFormats count="21">
    <chartFormat chart="1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8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9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62:B64" firstHeaderRow="1" firstDataRow="1" firstDataCol="1"/>
  <pivotFields count="9">
    <pivotField showAll="0"/>
    <pivotField showAll="0"/>
    <pivotField showAll="0"/>
    <pivotField showAll="0"/>
    <pivotField showAll="0"/>
    <pivotField axis="axisRow" dataField="1" multipleItemSelectionAllowed="1" showAll="0">
      <items count="4">
        <item m="1" x="1"/>
        <item m="1" x="2"/>
        <item x="0"/>
        <item t="default"/>
      </items>
    </pivotField>
    <pivotField showAll="0"/>
    <pivotField showAll="0"/>
    <pivotField showAll="0"/>
  </pivotFields>
  <rowFields count="1">
    <field x="5"/>
  </rowFields>
  <rowItems count="2">
    <i>
      <x v="2"/>
    </i>
    <i t="grand">
      <x/>
    </i>
  </rowItems>
  <colItems count="1">
    <i/>
  </colItems>
  <dataFields count="1">
    <dataField name="Count of Negative/ Positive Results" fld="5" subtotal="count" baseField="0" baseItem="0"/>
  </dataFields>
  <chartFormats count="6"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47:B49" firstHeaderRow="1" firstDataRow="1" firstDataCol="1"/>
  <pivotFields count="9">
    <pivotField showAll="0"/>
    <pivotField showAll="0"/>
    <pivotField showAll="0"/>
    <pivotField showAll="0"/>
    <pivotField showAll="0"/>
    <pivotField axis="axisRow" dataField="1" multipleItemSelectionAllowed="1" showAll="0">
      <items count="4">
        <item m="1" x="1"/>
        <item m="1" x="2"/>
        <item x="0"/>
        <item t="default"/>
      </items>
    </pivotField>
    <pivotField showAll="0"/>
    <pivotField showAll="0"/>
    <pivotField showAll="0"/>
  </pivotFields>
  <rowFields count="1">
    <field x="5"/>
  </rowFields>
  <rowItems count="2">
    <i>
      <x v="2"/>
    </i>
    <i t="grand">
      <x/>
    </i>
  </rowItems>
  <colItems count="1">
    <i/>
  </colItems>
  <dataFields count="1">
    <dataField name="Count of Negative/ Positive Results" fld="5" subtotal="count" baseField="0" baseItem="0"/>
  </dataFields>
  <chartFormats count="4"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40:C43" firstHeaderRow="1" firstDataRow="2" firstDataCol="1"/>
  <pivotFields count="9">
    <pivotField showAll="0"/>
    <pivotField showAll="0"/>
    <pivotField axis="axisCol" showAll="0">
      <items count="7">
        <item m="1" x="1"/>
        <item m="1" x="2"/>
        <item m="1" x="4"/>
        <item m="1" x="5"/>
        <item x="0"/>
        <item m="1" x="3"/>
        <item t="default"/>
      </items>
    </pivotField>
    <pivotField showAll="0"/>
    <pivotField showAll="0"/>
    <pivotField axis="axisRow" dataField="1" multipleItemSelectionAllowed="1" showAll="0">
      <items count="4">
        <item m="1" x="1"/>
        <item m="1" x="2"/>
        <item x="0"/>
        <item t="default"/>
      </items>
    </pivotField>
    <pivotField showAll="0"/>
    <pivotField showAll="0"/>
    <pivotField showAll="0"/>
  </pivotFields>
  <rowFields count="1">
    <field x="5"/>
  </rowFields>
  <rowItems count="2">
    <i>
      <x v="2"/>
    </i>
    <i t="grand">
      <x/>
    </i>
  </rowItems>
  <colFields count="1">
    <field x="2"/>
  </colFields>
  <colItems count="2">
    <i>
      <x v="4"/>
    </i>
    <i t="grand">
      <x/>
    </i>
  </colItems>
  <dataFields count="1">
    <dataField name="Count of Negative/ Positive Results" fld="5" subtotal="count" baseField="0" baseItem="0"/>
  </dataFields>
  <chartFormats count="1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6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28:C31" firstHeaderRow="1" firstDataRow="2" firstDataCol="1"/>
  <pivotFields count="9">
    <pivotField numFmtId="14" showAll="0"/>
    <pivotField axis="axisCol" showAll="0">
      <items count="21">
        <item m="1" x="19"/>
        <item m="1" x="11"/>
        <item m="1" x="8"/>
        <item m="1" x="2"/>
        <item m="1" x="13"/>
        <item m="1" x="6"/>
        <item m="1" x="7"/>
        <item m="1" x="12"/>
        <item m="1" x="10"/>
        <item m="1" x="15"/>
        <item m="1" x="3"/>
        <item m="1" x="9"/>
        <item m="1" x="14"/>
        <item m="1" x="17"/>
        <item m="1" x="16"/>
        <item m="1" x="18"/>
        <item m="1" x="1"/>
        <item m="1" x="5"/>
        <item m="1"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8">
        <item m="1" x="3"/>
        <item m="1" x="1"/>
        <item m="1" x="2"/>
        <item m="1" x="4"/>
        <item m="1" x="5"/>
        <item m="1" x="6"/>
        <item x="0"/>
        <item t="default"/>
      </items>
    </pivotField>
  </pivotFields>
  <rowFields count="1">
    <field x="8"/>
  </rowFields>
  <rowItems count="2">
    <i>
      <x v="6"/>
    </i>
    <i t="grand">
      <x/>
    </i>
  </rowItems>
  <colFields count="1">
    <field x="1"/>
  </colFields>
  <colItems count="2">
    <i>
      <x v="19"/>
    </i>
    <i t="grand">
      <x/>
    </i>
  </colItems>
  <dataFields count="1">
    <dataField name="Count of Name (Last, First)" fld="3" subtotal="count" baseField="0" baseItem="0"/>
  </dataFields>
  <chartFormats count="89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8" count="1" selected="0">
            <x v="2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8" count="1" selected="0">
            <x v="2"/>
          </reference>
        </references>
      </pivotArea>
    </chartFormat>
    <chartFormat chart="3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8" count="1" selected="0">
            <x v="2"/>
          </reference>
        </references>
      </pivotArea>
    </chartFormat>
    <chartFormat chart="3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8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9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9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9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9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9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9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9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7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8">
  <location ref="M42:N44" firstHeaderRow="1" firstDataRow="2" firstDataCol="1" rowPageCount="1" colPageCount="1"/>
  <pivotFields count="9">
    <pivotField showAll="0"/>
    <pivotField axis="axisRow" showAll="0">
      <items count="21">
        <item m="1" x="19"/>
        <item m="1" x="17"/>
        <item m="1" x="14"/>
        <item m="1" x="11"/>
        <item m="1" x="8"/>
        <item m="1" x="2"/>
        <item m="1" x="13"/>
        <item m="1" x="9"/>
        <item m="1" x="6"/>
        <item m="1" x="7"/>
        <item m="1" x="12"/>
        <item m="1" x="10"/>
        <item m="1" x="15"/>
        <item m="1" x="3"/>
        <item m="1" x="16"/>
        <item m="1" x="18"/>
        <item m="1" x="1"/>
        <item m="1" x="5"/>
        <item m="1" x="4"/>
        <item x="0"/>
        <item t="default"/>
      </items>
    </pivotField>
    <pivotField axis="axisCol" showAll="0">
      <items count="7">
        <item m="1" x="1"/>
        <item m="1" x="2"/>
        <item m="1" x="4"/>
        <item m="1" x="5"/>
        <item x="0"/>
        <item m="1" x="3"/>
        <item t="default"/>
      </items>
    </pivotField>
    <pivotField showAll="0"/>
    <pivotField showAll="0"/>
    <pivotField axis="axisPage" dataField="1" multipleItemSelectionAllowed="1" showAll="0">
      <items count="4">
        <item h="1" m="1" x="1"/>
        <item m="1" x="2"/>
        <item h="1" x="0"/>
        <item t="default"/>
      </items>
    </pivotField>
    <pivotField showAll="0"/>
    <pivotField showAll="0"/>
    <pivotField showAll="0"/>
  </pivotFields>
  <rowFields count="1">
    <field x="1"/>
  </rowFields>
  <rowItems count="1">
    <i t="grand">
      <x/>
    </i>
  </rowItems>
  <colFields count="1">
    <field x="2"/>
  </colFields>
  <colItems count="1">
    <i t="grand">
      <x/>
    </i>
  </colItems>
  <pageFields count="1">
    <pageField fld="5" hier="-1"/>
  </pageFields>
  <dataFields count="1">
    <dataField name="Count of Negative/ Positive Results" fld="5" subtotal="count" baseField="0" baseItem="0"/>
  </dataFields>
  <chartFormats count="2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5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C6" firstHeaderRow="1" firstDataRow="2" firstDataCol="1"/>
  <pivotFields count="9">
    <pivotField numFmtId="14" showAll="0"/>
    <pivotField axis="axisRow" showAll="0" sortType="ascending">
      <items count="21">
        <item m="1" x="19"/>
        <item m="1" x="17"/>
        <item m="1" x="14"/>
        <item m="1" x="18"/>
        <item m="1" x="11"/>
        <item m="1" x="8"/>
        <item m="1" x="2"/>
        <item m="1" x="13"/>
        <item m="1" x="9"/>
        <item m="1" x="6"/>
        <item m="1" x="16"/>
        <item m="1" x="7"/>
        <item m="1" x="12"/>
        <item m="1" x="4"/>
        <item m="1" x="5"/>
        <item m="1" x="1"/>
        <item m="1" x="10"/>
        <item m="1" x="15"/>
        <item m="1" x="3"/>
        <item x="0"/>
        <item t="default"/>
      </items>
    </pivotField>
    <pivotField showAll="0"/>
    <pivotField dataField="1" multipleItemSelectionAllowed="1" showAll="0"/>
    <pivotField showAll="0"/>
    <pivotField showAll="0"/>
    <pivotField showAll="0"/>
    <pivotField showAll="0"/>
    <pivotField axis="axisCol" showAll="0" sortType="ascending">
      <items count="8">
        <item m="1" x="3"/>
        <item m="1" x="1"/>
        <item m="1" x="2"/>
        <item m="1" x="4"/>
        <item m="1" x="5"/>
        <item m="1" x="6"/>
        <item x="0"/>
        <item t="default"/>
      </items>
    </pivotField>
  </pivotFields>
  <rowFields count="1">
    <field x="1"/>
  </rowFields>
  <rowItems count="2">
    <i>
      <x v="19"/>
    </i>
    <i t="grand">
      <x/>
    </i>
  </rowItems>
  <colFields count="1">
    <field x="8"/>
  </colFields>
  <colItems count="2">
    <i>
      <x v="6"/>
    </i>
    <i t="grand">
      <x/>
    </i>
  </colItems>
  <dataFields count="1">
    <dataField name="Count of Name (Last, First)" fld="3" subtotal="count" baseField="0" baseItem="0"/>
  </dataFields>
  <chartFormats count="8">
    <chartFormat chart="2" format="32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2" format="33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S13:U16" firstHeaderRow="1" firstDataRow="2" firstDataCol="1"/>
  <pivotFields count="9">
    <pivotField numFmtId="14" showAll="0"/>
    <pivotField axis="axisCol" showAll="0">
      <items count="21">
        <item m="1" x="19"/>
        <item m="1" x="11"/>
        <item m="1" x="8"/>
        <item m="1" x="2"/>
        <item m="1" x="13"/>
        <item m="1" x="6"/>
        <item m="1" x="7"/>
        <item m="1" x="12"/>
        <item m="1" x="10"/>
        <item m="1" x="15"/>
        <item m="1" x="3"/>
        <item m="1" x="9"/>
        <item m="1" x="14"/>
        <item m="1" x="17"/>
        <item m="1" x="16"/>
        <item m="1" x="18"/>
        <item m="1" x="1"/>
        <item m="1" x="5"/>
        <item m="1"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8">
        <item m="1" x="3"/>
        <item m="1" x="1"/>
        <item m="1" x="2"/>
        <item m="1" x="4"/>
        <item m="1" x="5"/>
        <item m="1" x="6"/>
        <item x="0"/>
        <item t="default"/>
      </items>
    </pivotField>
  </pivotFields>
  <rowFields count="1">
    <field x="8"/>
  </rowFields>
  <rowItems count="2">
    <i>
      <x v="6"/>
    </i>
    <i t="grand">
      <x/>
    </i>
  </rowItems>
  <colFields count="1">
    <field x="1"/>
  </colFields>
  <colItems count="2">
    <i>
      <x v="19"/>
    </i>
    <i t="grand">
      <x/>
    </i>
  </colItems>
  <dataFields count="1">
    <dataField name="Count of Name (Last, First)" fld="3" subtotal="count" baseField="0" baseItem="0"/>
  </dataFields>
  <chartFormats count="31"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3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3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3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8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A54:C56" firstHeaderRow="1" firstDataRow="2" firstDataCol="1"/>
  <pivotFields count="9">
    <pivotField numFmtId="14" showAll="0"/>
    <pivotField showAll="0"/>
    <pivotField showAll="0"/>
    <pivotField dataField="1" multipleItemSelectionAllowed="1" showAll="0"/>
    <pivotField showAll="0"/>
    <pivotField showAll="0"/>
    <pivotField showAll="0"/>
    <pivotField showAll="0"/>
    <pivotField axis="axisCol" showAll="0">
      <items count="8">
        <item m="1" x="1"/>
        <item m="1" x="2"/>
        <item x="0"/>
        <item m="1" x="4"/>
        <item m="1" x="3"/>
        <item m="1" x="6"/>
        <item m="1" x="5"/>
        <item t="default"/>
      </items>
    </pivotField>
  </pivotFields>
  <rowItems count="1">
    <i/>
  </rowItems>
  <colFields count="1">
    <field x="8"/>
  </colFields>
  <colItems count="2">
    <i>
      <x v="2"/>
    </i>
    <i t="grand">
      <x/>
    </i>
  </colItems>
  <dataFields count="1">
    <dataField name="Count of Name (Last, First)" fld="3" subtotal="count" baseField="0" baseItem="0"/>
  </dataFields>
  <chartFormats count="14">
    <chartFormat chart="2" format="32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2" format="33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I2" totalsRowShown="0" headerRowDxfId="11" dataDxfId="9" headerRowBorderDxfId="10">
  <autoFilter ref="A1:I2"/>
  <tableColumns count="9">
    <tableColumn id="1" name="Date " dataDxfId="8"/>
    <tableColumn id="2" name="Community" dataDxfId="7"/>
    <tableColumn id="3" name="Reason for Test" dataDxfId="6"/>
    <tableColumn id="4" name="Name (Last, First)" dataDxfId="5"/>
    <tableColumn id="5" name="Date Results Posted by Lab " dataDxfId="4"/>
    <tableColumn id="6" name="Negative/ Positive Results" dataDxfId="3"/>
    <tableColumn id="7" name="Date Community Notified" dataDxfId="2"/>
    <tableColumn id="8" name="Comments" dataDxfId="1"/>
    <tableColumn id="9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9"/>
  <sheetViews>
    <sheetView zoomScale="85" zoomScaleNormal="85" workbookViewId="0">
      <selection activeCell="Z25" sqref="Z25"/>
    </sheetView>
  </sheetViews>
  <sheetFormatPr defaultRowHeight="12.75" x14ac:dyDescent="0.2"/>
  <sheetData>
    <row r="29" spans="2:2" x14ac:dyDescent="0.2">
      <c r="B29" t="s">
        <v>22</v>
      </c>
    </row>
  </sheetData>
  <pageMargins left="0.7" right="0.7" top="0.75" bottom="0.75" header="0.3" footer="0.3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="85" zoomScaleNormal="85" workbookViewId="0">
      <selection activeCell="I37" sqref="I37"/>
    </sheetView>
  </sheetViews>
  <sheetFormatPr defaultRowHeight="12.75" x14ac:dyDescent="0.2"/>
  <sheetData/>
  <pageMargins left="0.7" right="0.7" top="0.75" bottom="0.75" header="0.3" footer="0.3"/>
  <pageSetup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>
      <selection activeCell="L38" sqref="L38"/>
    </sheetView>
  </sheetViews>
  <sheetFormatPr defaultRowHeight="12.75" x14ac:dyDescent="0.2"/>
  <sheetData/>
  <pageMargins left="0.7" right="0.7" top="0.75" bottom="0.75" header="0.3" footer="0.3"/>
  <pageSetup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64"/>
  <sheetViews>
    <sheetView topLeftCell="A22" zoomScale="80" zoomScaleNormal="80" workbookViewId="0">
      <selection activeCell="B4" sqref="B4"/>
    </sheetView>
  </sheetViews>
  <sheetFormatPr defaultRowHeight="12.75" x14ac:dyDescent="0.2"/>
  <cols>
    <col min="1" max="1" width="22.85546875" customWidth="1"/>
    <col min="2" max="2" width="16" customWidth="1"/>
    <col min="3" max="3" width="10.7109375" bestFit="1" customWidth="1"/>
    <col min="4" max="4" width="9.28515625" bestFit="1" customWidth="1"/>
    <col min="5" max="5" width="4.5703125" bestFit="1" customWidth="1"/>
    <col min="6" max="6" width="4.42578125" bestFit="1" customWidth="1"/>
    <col min="7" max="7" width="7.28515625" bestFit="1" customWidth="1"/>
    <col min="8" max="8" width="9.140625" bestFit="1" customWidth="1"/>
    <col min="9" max="9" width="6.28515625" bestFit="1" customWidth="1"/>
    <col min="10" max="10" width="7.85546875" bestFit="1" customWidth="1"/>
    <col min="11" max="11" width="10.5703125" bestFit="1" customWidth="1"/>
    <col min="12" max="12" width="9.85546875" bestFit="1" customWidth="1"/>
    <col min="13" max="13" width="30.7109375" bestFit="1" customWidth="1"/>
    <col min="14" max="14" width="17.7109375" bestFit="1" customWidth="1"/>
    <col min="15" max="15" width="8.5703125" bestFit="1" customWidth="1"/>
    <col min="16" max="16" width="10.7109375" bestFit="1" customWidth="1"/>
    <col min="17" max="17" width="12.7109375" bestFit="1" customWidth="1"/>
    <col min="18" max="18" width="9.28515625" bestFit="1" customWidth="1"/>
    <col min="19" max="19" width="22.85546875" bestFit="1" customWidth="1"/>
    <col min="20" max="20" width="16" bestFit="1" customWidth="1"/>
    <col min="21" max="21" width="10.7109375" bestFit="1" customWidth="1"/>
    <col min="22" max="22" width="13.42578125" bestFit="1" customWidth="1"/>
    <col min="23" max="23" width="17.7109375" bestFit="1" customWidth="1"/>
    <col min="24" max="24" width="6.7109375" bestFit="1" customWidth="1"/>
    <col min="25" max="25" width="11.42578125" bestFit="1" customWidth="1"/>
    <col min="26" max="26" width="10.7109375" bestFit="1" customWidth="1"/>
    <col min="27" max="27" width="6.28515625" bestFit="1" customWidth="1"/>
    <col min="28" max="28" width="7.85546875" bestFit="1" customWidth="1"/>
    <col min="29" max="29" width="10.5703125" bestFit="1" customWidth="1"/>
    <col min="30" max="30" width="9.85546875" bestFit="1" customWidth="1"/>
    <col min="31" max="31" width="10.7109375" bestFit="1" customWidth="1"/>
    <col min="32" max="32" width="7.85546875" bestFit="1" customWidth="1"/>
    <col min="33" max="33" width="13.42578125" bestFit="1" customWidth="1"/>
    <col min="34" max="34" width="9.5703125" bestFit="1" customWidth="1"/>
    <col min="35" max="35" width="12.7109375" bestFit="1" customWidth="1"/>
    <col min="36" max="36" width="9.28515625" bestFit="1" customWidth="1"/>
    <col min="37" max="37" width="10.5703125" bestFit="1" customWidth="1"/>
    <col min="38" max="38" width="12.7109375" bestFit="1" customWidth="1"/>
    <col min="39" max="39" width="6.7109375" bestFit="1" customWidth="1"/>
    <col min="40" max="40" width="10.7109375" bestFit="1" customWidth="1"/>
  </cols>
  <sheetData>
    <row r="3" spans="1:21" x14ac:dyDescent="0.2">
      <c r="A3" s="6" t="s">
        <v>16</v>
      </c>
      <c r="B3" s="6" t="s">
        <v>13</v>
      </c>
      <c r="S3" s="6" t="s">
        <v>16</v>
      </c>
      <c r="T3" s="6" t="s">
        <v>13</v>
      </c>
    </row>
    <row r="4" spans="1:21" x14ac:dyDescent="0.2">
      <c r="A4" s="6" t="s">
        <v>15</v>
      </c>
      <c r="B4" t="s">
        <v>21</v>
      </c>
      <c r="C4" t="s">
        <v>14</v>
      </c>
      <c r="K4" s="6"/>
      <c r="L4" s="6"/>
      <c r="M4" s="6"/>
      <c r="N4" s="6"/>
      <c r="O4" s="6"/>
      <c r="P4" s="6"/>
      <c r="Q4" s="6"/>
      <c r="R4" s="6"/>
      <c r="S4" s="6" t="s">
        <v>15</v>
      </c>
      <c r="T4" t="s">
        <v>21</v>
      </c>
      <c r="U4" t="s">
        <v>14</v>
      </c>
    </row>
    <row r="5" spans="1:21" x14ac:dyDescent="0.2">
      <c r="A5" s="7" t="s">
        <v>21</v>
      </c>
      <c r="B5" s="8"/>
      <c r="C5" s="8"/>
      <c r="S5" s="7" t="s">
        <v>21</v>
      </c>
      <c r="T5" s="8"/>
      <c r="U5" s="8"/>
    </row>
    <row r="6" spans="1:21" x14ac:dyDescent="0.2">
      <c r="A6" s="7" t="s">
        <v>14</v>
      </c>
      <c r="B6" s="8"/>
      <c r="C6" s="8"/>
      <c r="S6" s="7" t="s">
        <v>14</v>
      </c>
      <c r="T6" s="8"/>
      <c r="U6" s="8"/>
    </row>
    <row r="13" spans="1:21" x14ac:dyDescent="0.2">
      <c r="S13" s="6" t="s">
        <v>16</v>
      </c>
      <c r="T13" s="6" t="s">
        <v>13</v>
      </c>
    </row>
    <row r="14" spans="1:21" x14ac:dyDescent="0.2">
      <c r="S14" s="6" t="s">
        <v>15</v>
      </c>
      <c r="T14" t="s">
        <v>21</v>
      </c>
      <c r="U14" t="s">
        <v>14</v>
      </c>
    </row>
    <row r="15" spans="1:21" x14ac:dyDescent="0.2">
      <c r="S15" s="7" t="s">
        <v>21</v>
      </c>
      <c r="T15" s="8"/>
      <c r="U15" s="8"/>
    </row>
    <row r="16" spans="1:21" x14ac:dyDescent="0.2">
      <c r="S16" s="7" t="s">
        <v>14</v>
      </c>
      <c r="T16" s="8"/>
      <c r="U16" s="8"/>
    </row>
    <row r="28" spans="1:3" x14ac:dyDescent="0.2">
      <c r="A28" s="6" t="s">
        <v>16</v>
      </c>
      <c r="B28" s="6" t="s">
        <v>13</v>
      </c>
    </row>
    <row r="29" spans="1:3" x14ac:dyDescent="0.2">
      <c r="A29" s="6" t="s">
        <v>15</v>
      </c>
      <c r="B29" t="s">
        <v>21</v>
      </c>
      <c r="C29" t="s">
        <v>14</v>
      </c>
    </row>
    <row r="30" spans="1:3" x14ac:dyDescent="0.2">
      <c r="A30" s="7" t="s">
        <v>21</v>
      </c>
      <c r="B30" s="8"/>
      <c r="C30" s="8"/>
    </row>
    <row r="31" spans="1:3" x14ac:dyDescent="0.2">
      <c r="A31" s="7" t="s">
        <v>14</v>
      </c>
      <c r="B31" s="8"/>
      <c r="C31" s="8"/>
    </row>
    <row r="37" spans="1:15" x14ac:dyDescent="0.2">
      <c r="F37" s="6"/>
      <c r="G37" s="6"/>
      <c r="H37" s="6"/>
      <c r="I37" s="6"/>
      <c r="M37" s="6"/>
      <c r="N37" s="6"/>
      <c r="O37" s="6"/>
    </row>
    <row r="39" spans="1:15" x14ac:dyDescent="0.2">
      <c r="M39" s="6"/>
      <c r="N39" s="6"/>
      <c r="O39" s="6"/>
    </row>
    <row r="40" spans="1:15" x14ac:dyDescent="0.2">
      <c r="A40" s="6" t="s">
        <v>19</v>
      </c>
      <c r="B40" s="6" t="s">
        <v>13</v>
      </c>
      <c r="I40" s="6"/>
      <c r="M40" s="6" t="s">
        <v>3</v>
      </c>
      <c r="N40" t="s">
        <v>23</v>
      </c>
    </row>
    <row r="41" spans="1:15" x14ac:dyDescent="0.2">
      <c r="A41" s="6" t="s">
        <v>15</v>
      </c>
      <c r="B41" t="s">
        <v>21</v>
      </c>
      <c r="C41" t="s">
        <v>14</v>
      </c>
    </row>
    <row r="42" spans="1:15" x14ac:dyDescent="0.2">
      <c r="A42" s="7" t="s">
        <v>21</v>
      </c>
      <c r="B42" s="8"/>
      <c r="C42" s="8"/>
      <c r="M42" s="6" t="s">
        <v>19</v>
      </c>
      <c r="N42" s="6" t="s">
        <v>13</v>
      </c>
    </row>
    <row r="43" spans="1:15" x14ac:dyDescent="0.2">
      <c r="A43" s="7" t="s">
        <v>14</v>
      </c>
      <c r="B43" s="8"/>
      <c r="C43" s="8"/>
      <c r="M43" s="6" t="s">
        <v>15</v>
      </c>
      <c r="N43" t="s">
        <v>14</v>
      </c>
    </row>
    <row r="44" spans="1:15" x14ac:dyDescent="0.2">
      <c r="M44" s="7" t="s">
        <v>14</v>
      </c>
      <c r="N44" s="8"/>
    </row>
    <row r="47" spans="1:15" x14ac:dyDescent="0.2">
      <c r="A47" s="6" t="s">
        <v>15</v>
      </c>
      <c r="B47" t="s">
        <v>19</v>
      </c>
      <c r="G47" s="6"/>
      <c r="H47" s="6"/>
      <c r="I47" s="6"/>
    </row>
    <row r="48" spans="1:15" x14ac:dyDescent="0.2">
      <c r="A48" s="7" t="s">
        <v>21</v>
      </c>
      <c r="B48" s="8"/>
    </row>
    <row r="49" spans="1:34" x14ac:dyDescent="0.2">
      <c r="A49" s="7" t="s">
        <v>14</v>
      </c>
      <c r="B49" s="8"/>
    </row>
    <row r="52" spans="1:34" x14ac:dyDescent="0.2"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4" spans="1:34" x14ac:dyDescent="0.2">
      <c r="B54" s="6" t="s">
        <v>13</v>
      </c>
    </row>
    <row r="55" spans="1:34" x14ac:dyDescent="0.2">
      <c r="B55" t="s">
        <v>21</v>
      </c>
      <c r="C55" t="s">
        <v>14</v>
      </c>
    </row>
    <row r="56" spans="1:34" x14ac:dyDescent="0.2">
      <c r="A56" t="s">
        <v>16</v>
      </c>
      <c r="B56" s="8"/>
      <c r="C56" s="8"/>
    </row>
    <row r="62" spans="1:34" x14ac:dyDescent="0.2">
      <c r="A62" s="6" t="s">
        <v>15</v>
      </c>
      <c r="B62" t="s">
        <v>19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2">
      <c r="A63" s="7" t="s">
        <v>21</v>
      </c>
      <c r="B63" s="8"/>
    </row>
    <row r="64" spans="1:34" x14ac:dyDescent="0.2">
      <c r="A64" s="7" t="s">
        <v>14</v>
      </c>
      <c r="B6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abSelected="1" zoomScale="85" zoomScaleNormal="85" workbookViewId="0">
      <selection activeCell="A2" sqref="A2"/>
    </sheetView>
  </sheetViews>
  <sheetFormatPr defaultColWidth="9.140625" defaultRowHeight="14.25" x14ac:dyDescent="0.2"/>
  <cols>
    <col min="1" max="1" width="10.42578125" style="4" bestFit="1" customWidth="1"/>
    <col min="2" max="2" width="15.7109375" style="1" customWidth="1"/>
    <col min="3" max="3" width="27" style="1" customWidth="1"/>
    <col min="4" max="4" width="28.28515625" style="1" customWidth="1"/>
    <col min="5" max="5" width="38.85546875" style="5" customWidth="1"/>
    <col min="6" max="6" width="27.7109375" style="1" customWidth="1"/>
    <col min="7" max="7" width="39.28515625" style="5" customWidth="1"/>
    <col min="8" max="8" width="32" style="1" customWidth="1"/>
    <col min="9" max="16384" width="9.140625" style="1"/>
  </cols>
  <sheetData>
    <row r="1" spans="1:9" x14ac:dyDescent="0.2">
      <c r="A1" s="3" t="s">
        <v>0</v>
      </c>
      <c r="B1" s="3" t="s">
        <v>1</v>
      </c>
      <c r="C1" s="3" t="s">
        <v>10</v>
      </c>
      <c r="D1" s="3" t="s">
        <v>6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18</v>
      </c>
    </row>
    <row r="2" spans="1:9" x14ac:dyDescent="0.2">
      <c r="A2" s="9"/>
      <c r="B2" s="13"/>
      <c r="C2" s="11"/>
      <c r="D2" s="11"/>
      <c r="E2" s="12"/>
      <c r="F2" s="11"/>
      <c r="G2" s="12"/>
      <c r="H2" s="11"/>
      <c r="I2" s="10"/>
    </row>
    <row r="3" spans="1:9" x14ac:dyDescent="0.2">
      <c r="C3" s="2"/>
    </row>
    <row r="4" spans="1:9" x14ac:dyDescent="0.2">
      <c r="C4" s="2"/>
    </row>
    <row r="5" spans="1:9" x14ac:dyDescent="0.2">
      <c r="C5" s="2"/>
    </row>
    <row r="6" spans="1:9" x14ac:dyDescent="0.2">
      <c r="C6" s="2"/>
    </row>
    <row r="7" spans="1:9" x14ac:dyDescent="0.2">
      <c r="C7" s="2"/>
    </row>
    <row r="8" spans="1:9" x14ac:dyDescent="0.2">
      <c r="C8" s="2"/>
    </row>
    <row r="9" spans="1:9" x14ac:dyDescent="0.2">
      <c r="C9" s="2"/>
    </row>
    <row r="10" spans="1:9" x14ac:dyDescent="0.2">
      <c r="C10" s="2"/>
    </row>
    <row r="11" spans="1:9" x14ac:dyDescent="0.2">
      <c r="C11" s="2"/>
    </row>
    <row r="12" spans="1:9" x14ac:dyDescent="0.2">
      <c r="C12" s="2"/>
    </row>
    <row r="13" spans="1:9" x14ac:dyDescent="0.2">
      <c r="C13" s="2"/>
    </row>
    <row r="14" spans="1:9" x14ac:dyDescent="0.2">
      <c r="C14" s="2"/>
    </row>
    <row r="15" spans="1:9" x14ac:dyDescent="0.2">
      <c r="C15" s="2"/>
    </row>
    <row r="16" spans="1:9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</sheetData>
  <conditionalFormatting sqref="F3:F1048576">
    <cfRule type="cellIs" dxfId="14" priority="12" operator="equal">
      <formula>"Positive"</formula>
    </cfRule>
  </conditionalFormatting>
  <conditionalFormatting sqref="F1:F2">
    <cfRule type="cellIs" dxfId="13" priority="5" operator="equal">
      <formula>"Positive"</formula>
    </cfRule>
  </conditionalFormatting>
  <conditionalFormatting sqref="G1">
    <cfRule type="cellIs" dxfId="12" priority="4" operator="equal">
      <formula>"Positive"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Sheet2!$B$1:$B$2</xm:f>
          </x14:formula1>
          <xm:sqref>F3:F103</xm:sqref>
        </x14:dataValidation>
        <x14:dataValidation type="list" allowBlank="1" showInputMessage="1" showErrorMessage="1">
          <x14:formula1>
            <xm:f>Sheet2!$A$1:$A$5</xm:f>
          </x14:formula1>
          <xm:sqref>C3:C1048576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8" sqref="C8"/>
    </sheetView>
  </sheetViews>
  <sheetFormatPr defaultRowHeight="12.75" x14ac:dyDescent="0.2"/>
  <sheetData>
    <row r="1" spans="1:2" x14ac:dyDescent="0.2">
      <c r="A1" t="s">
        <v>7</v>
      </c>
      <c r="B1" t="s">
        <v>11</v>
      </c>
    </row>
    <row r="2" spans="1:2" x14ac:dyDescent="0.2">
      <c r="A2" t="s">
        <v>8</v>
      </c>
      <c r="B2" t="s">
        <v>12</v>
      </c>
    </row>
    <row r="3" spans="1:2" x14ac:dyDescent="0.2">
      <c r="A3" t="s">
        <v>9</v>
      </c>
    </row>
    <row r="4" spans="1:2" x14ac:dyDescent="0.2">
      <c r="A4" t="s">
        <v>17</v>
      </c>
    </row>
    <row r="5" spans="1:2" x14ac:dyDescent="0.2">
      <c r="A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Graphs</vt:lpstr>
      <vt:lpstr>Linear</vt:lpstr>
      <vt:lpstr>Summary</vt:lpstr>
      <vt:lpstr>Detail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Barr</dc:creator>
  <cp:lastModifiedBy>Rudkouski, Andrei</cp:lastModifiedBy>
  <cp:lastPrinted>2020-04-16T21:54:13Z</cp:lastPrinted>
  <dcterms:created xsi:type="dcterms:W3CDTF">2020-04-09T14:09:32Z</dcterms:created>
  <dcterms:modified xsi:type="dcterms:W3CDTF">2020-07-10T07:15:30Z</dcterms:modified>
</cp:coreProperties>
</file>